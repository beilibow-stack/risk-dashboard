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780" activeTab="1"/>
  </bookViews>
  <sheets>
    <sheet name="Macro_Trends" sheetId="1" r:id="rId1"/>
    <sheet name="Roll_Rates" sheetId="2" r:id="rId2"/>
    <sheet name="Asset_Struc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<sst xmlns="http://schemas.openxmlformats.org/spreadsheetml/2006/main" count="208" uniqueCount="21">
  <si>
    <t>月份</t>
  </si>
  <si>
    <t>资产余额_亿元</t>
  </si>
  <si>
    <t>新增余额_亿元</t>
  </si>
  <si>
    <t>累计不良率</t>
  </si>
  <si>
    <t>新增不良率</t>
  </si>
  <si>
    <t>产品类别</t>
  </si>
  <si>
    <t>结转阶段</t>
  </si>
  <si>
    <t>期初结转比</t>
  </si>
  <si>
    <t>期末结转比</t>
  </si>
  <si>
    <t>大额分期</t>
  </si>
  <si>
    <t>M0-M1</t>
  </si>
  <si>
    <t>M1-M2</t>
  </si>
  <si>
    <t>M2-M3</t>
  </si>
  <si>
    <t>M3-M4</t>
  </si>
  <si>
    <t>资产状态</t>
  </si>
  <si>
    <t>资产金额_万元</t>
  </si>
  <si>
    <t>M0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</si>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</sst>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&quot;.&quot;0,&quot;万元&quot;"/>
    <numFmt numFmtId="178" formatCode="0&quot;.&quot;00,,&quot;亿元&quot;"/>
    <numFmt numFmtId="179" formatCode="0.0000%"/>
  </numFmts>
  <fonts count="25">
    <font>
      <sz val="11"/>
      <color theme="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176" fontId="0" fillId="0" borderId="0" xfId="0" applyNumberForma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/>
    <xf numFmtId="10" fontId="4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78" fontId="3" fillId="0" borderId="0" xfId="0" applyNumberFormat="1" applyFont="1" applyFill="1" applyAlignment="1">
      <alignment horizontal="center"/>
    </xf>
    <xf numFmtId="10" fontId="3" fillId="0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1" sqref="B1:E1"/>
    </sheetView>
  </sheetViews>
  <sheetFormatPr defaultColWidth="9.23076923076923" defaultRowHeight="16.8" outlineLevelCol="4"/>
  <cols>
    <col min="1" max="1" width="23.3942307692308" customWidth="1"/>
    <col min="2" max="2" width="33.0096153846154" customWidth="1"/>
    <col min="3" max="3" width="34.9326923076923" customWidth="1"/>
    <col min="4" max="4" width="23.3942307692308" customWidth="1"/>
    <col min="5" max="5" width="34.45192307692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45688</v>
      </c>
      <c r="B2" s="7">
        <v>2061556000</v>
      </c>
      <c r="C2" s="7">
        <f>10267.12*10000</f>
        <v>102671200</v>
      </c>
      <c r="D2" s="8">
        <v>0.0109</v>
      </c>
      <c r="E2" s="9">
        <v>0.001079</v>
      </c>
    </row>
    <row r="3" spans="1:5">
      <c r="A3" s="2">
        <v>45716</v>
      </c>
      <c r="B3" s="7">
        <v>2082096600</v>
      </c>
      <c r="C3" s="7">
        <f>B3-B2</f>
        <v>20540600</v>
      </c>
      <c r="D3" s="8">
        <v>0.0135</v>
      </c>
      <c r="E3" s="9">
        <v>0.002756</v>
      </c>
    </row>
    <row r="4" spans="1:5">
      <c r="A4" s="2">
        <v>45747</v>
      </c>
      <c r="B4" s="7">
        <v>2163431500</v>
      </c>
      <c r="C4" s="7">
        <f t="shared" ref="C4:C16" si="0">B4-B3</f>
        <v>81334900</v>
      </c>
      <c r="D4" s="8">
        <v>0.0138</v>
      </c>
      <c r="E4" s="9">
        <v>0.000791</v>
      </c>
    </row>
    <row r="5" spans="1:5">
      <c r="A5" s="2">
        <v>45777</v>
      </c>
      <c r="B5" s="7">
        <v>2251124100</v>
      </c>
      <c r="C5" s="7">
        <f t="shared" si="0"/>
        <v>87692600</v>
      </c>
      <c r="D5" s="8">
        <v>0.0139</v>
      </c>
      <c r="E5" s="9">
        <v>0.000672</v>
      </c>
    </row>
    <row r="6" spans="1:5">
      <c r="A6" s="2">
        <v>45808</v>
      </c>
      <c r="B6" s="7">
        <v>2314419900</v>
      </c>
      <c r="C6" s="7">
        <f t="shared" si="0"/>
        <v>63295800</v>
      </c>
      <c r="D6" s="8">
        <v>0.0145</v>
      </c>
      <c r="E6" s="9">
        <v>0.000943</v>
      </c>
    </row>
    <row r="7" spans="1:5">
      <c r="A7" s="2">
        <v>45838</v>
      </c>
      <c r="B7" s="7">
        <v>2387341700</v>
      </c>
      <c r="C7" s="7">
        <f t="shared" si="0"/>
        <v>72921800</v>
      </c>
      <c r="D7" s="8">
        <v>0.0148</v>
      </c>
      <c r="E7" s="9">
        <v>0.000806</v>
      </c>
    </row>
    <row r="8" spans="1:5">
      <c r="A8" s="2">
        <v>45869</v>
      </c>
      <c r="B8" s="7">
        <v>2481665600</v>
      </c>
      <c r="C8" s="7">
        <f t="shared" si="0"/>
        <v>94323900</v>
      </c>
      <c r="D8" s="8">
        <v>0.015</v>
      </c>
      <c r="E8" s="9">
        <v>0.000698</v>
      </c>
    </row>
    <row r="9" spans="1:5">
      <c r="A9" s="2">
        <v>45900</v>
      </c>
      <c r="B9" s="7">
        <v>2537256900</v>
      </c>
      <c r="C9" s="7">
        <f t="shared" si="0"/>
        <v>55591300</v>
      </c>
      <c r="D9" s="8">
        <v>0.015</v>
      </c>
      <c r="E9" s="9">
        <v>0.000354</v>
      </c>
    </row>
    <row r="10" spans="1:5">
      <c r="A10" s="2">
        <v>45930</v>
      </c>
      <c r="B10" s="7">
        <v>2587295400</v>
      </c>
      <c r="C10" s="7">
        <f t="shared" si="0"/>
        <v>50038500</v>
      </c>
      <c r="D10" s="8">
        <v>0.0147</v>
      </c>
      <c r="E10" s="9">
        <v>-5.1e-5</v>
      </c>
    </row>
    <row r="11" spans="1:5">
      <c r="A11" s="2">
        <v>45961</v>
      </c>
      <c r="B11" s="7">
        <v>2632205700</v>
      </c>
      <c r="C11" s="7">
        <f t="shared" si="0"/>
        <v>44910300</v>
      </c>
      <c r="D11" s="8">
        <v>0.0149</v>
      </c>
      <c r="E11" s="9">
        <v>0.0004379</v>
      </c>
    </row>
    <row r="12" spans="1:5">
      <c r="A12" s="2">
        <v>45991</v>
      </c>
      <c r="B12" s="7">
        <v>2684583800</v>
      </c>
      <c r="C12" s="7">
        <f t="shared" si="0"/>
        <v>52378100</v>
      </c>
      <c r="D12" s="8">
        <v>0.0149</v>
      </c>
      <c r="E12" s="9">
        <v>0.000317</v>
      </c>
    </row>
    <row r="13" spans="1:5">
      <c r="A13" s="2">
        <v>46022</v>
      </c>
      <c r="B13" s="7">
        <v>2736037400</v>
      </c>
      <c r="C13" s="7">
        <f t="shared" si="0"/>
        <v>51453600</v>
      </c>
      <c r="D13" s="8">
        <v>0.0141</v>
      </c>
      <c r="E13" s="9">
        <v>-0.000449</v>
      </c>
    </row>
    <row r="14" spans="1:5">
      <c r="A14" s="2">
        <v>46053</v>
      </c>
      <c r="B14" s="7">
        <v>2790589600</v>
      </c>
      <c r="C14" s="7">
        <f t="shared" si="0"/>
        <v>54552200</v>
      </c>
      <c r="D14" s="8">
        <v>0.0145</v>
      </c>
      <c r="E14" s="9">
        <v>0.000653</v>
      </c>
    </row>
    <row r="15" spans="1:5">
      <c r="A15" s="2">
        <v>46081</v>
      </c>
      <c r="B15" s="7">
        <v>2803752000</v>
      </c>
      <c r="C15" s="7">
        <f t="shared" si="0"/>
        <v>13162400</v>
      </c>
      <c r="D15" s="8">
        <v>0.015</v>
      </c>
      <c r="E15" s="9">
        <v>0.000510209176845884</v>
      </c>
    </row>
    <row r="16" spans="1:5">
      <c r="A16" s="2">
        <v>46112</v>
      </c>
      <c r="B16" s="7">
        <v>2823080600</v>
      </c>
      <c r="C16" s="7">
        <f t="shared" si="0"/>
        <v>19328600</v>
      </c>
      <c r="D16" s="8">
        <v>0.0156</v>
      </c>
      <c r="E16" s="9">
        <v>0.000758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G9" sqref="G9"/>
    </sheetView>
  </sheetViews>
  <sheetFormatPr defaultColWidth="9.23076923076923" defaultRowHeight="16.8" outlineLevelCol="4"/>
  <cols>
    <col min="1" max="5" width="16.1826923076923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s="2">
        <v>45688</v>
      </c>
      <c r="B2" t="s">
        <v>9</v>
      </c>
      <c r="C2" t="s">
        <v>10</v>
      </c>
      <c r="D2" s="5">
        <v>0.0233</v>
      </c>
      <c r="E2" s="6">
        <v>0.0122</v>
      </c>
    </row>
    <row r="3" spans="1:5">
      <c r="A3" s="2">
        <v>45688</v>
      </c>
      <c r="B3" t="s">
        <v>9</v>
      </c>
      <c r="C3" t="s">
        <v>11</v>
      </c>
      <c r="D3" s="6">
        <v>0.3536</v>
      </c>
      <c r="E3" s="6">
        <v>0.4639</v>
      </c>
    </row>
    <row r="4" spans="1:5">
      <c r="A4" s="2">
        <v>45688</v>
      </c>
      <c r="B4" t="s">
        <v>9</v>
      </c>
      <c r="C4" t="s">
        <v>12</v>
      </c>
      <c r="D4" s="6">
        <v>0.5443</v>
      </c>
      <c r="E4" s="6">
        <v>0.4837</v>
      </c>
    </row>
    <row r="5" spans="1:5">
      <c r="A5" s="2">
        <v>45688</v>
      </c>
      <c r="B5" t="s">
        <v>9</v>
      </c>
      <c r="C5" t="s">
        <v>13</v>
      </c>
      <c r="D5" s="6">
        <v>0.9444</v>
      </c>
      <c r="E5" s="6">
        <v>0.9444</v>
      </c>
    </row>
    <row r="6" spans="1:5">
      <c r="A6" s="2">
        <v>45716</v>
      </c>
      <c r="B6" t="s">
        <v>9</v>
      </c>
      <c r="C6" t="s">
        <v>10</v>
      </c>
      <c r="D6" s="5">
        <v>0.0178</v>
      </c>
      <c r="E6" s="6">
        <v>0.0072</v>
      </c>
    </row>
    <row r="7" spans="1:5">
      <c r="A7" s="2">
        <v>45716</v>
      </c>
      <c r="B7" t="s">
        <v>9</v>
      </c>
      <c r="C7" t="s">
        <v>11</v>
      </c>
      <c r="D7" s="6">
        <v>0.4734</v>
      </c>
      <c r="E7" s="6">
        <v>0.6956</v>
      </c>
    </row>
    <row r="8" spans="1:5">
      <c r="A8" s="2">
        <v>45716</v>
      </c>
      <c r="B8" t="s">
        <v>9</v>
      </c>
      <c r="C8" t="s">
        <v>12</v>
      </c>
      <c r="D8" s="6">
        <v>0.2891</v>
      </c>
      <c r="E8" s="6">
        <v>0.4826</v>
      </c>
    </row>
    <row r="9" spans="1:5">
      <c r="A9" s="2">
        <v>45716</v>
      </c>
      <c r="B9" t="s">
        <v>9</v>
      </c>
      <c r="C9" t="s">
        <v>13</v>
      </c>
      <c r="D9" s="6">
        <v>0.6956</v>
      </c>
      <c r="E9" s="6">
        <v>0.9996</v>
      </c>
    </row>
    <row r="10" spans="1:5">
      <c r="A10" s="2">
        <v>45747</v>
      </c>
      <c r="B10" t="s">
        <v>9</v>
      </c>
      <c r="C10" t="s">
        <v>10</v>
      </c>
      <c r="D10" s="5">
        <v>0.0174</v>
      </c>
      <c r="E10" s="6">
        <v>0.0085</v>
      </c>
    </row>
    <row r="11" spans="1:5">
      <c r="A11" s="2">
        <v>45747</v>
      </c>
      <c r="B11" t="s">
        <v>9</v>
      </c>
      <c r="C11" t="s">
        <v>11</v>
      </c>
      <c r="D11" s="6">
        <v>0.6967</v>
      </c>
      <c r="E11" s="6">
        <v>1.3622</v>
      </c>
    </row>
    <row r="12" spans="1:5">
      <c r="A12" s="2">
        <v>45747</v>
      </c>
      <c r="B12" t="s">
        <v>9</v>
      </c>
      <c r="C12" t="s">
        <v>12</v>
      </c>
      <c r="D12" s="6">
        <v>0.0911</v>
      </c>
      <c r="E12" s="6">
        <v>0.1169</v>
      </c>
    </row>
    <row r="13" spans="1:5">
      <c r="A13" s="2">
        <v>45747</v>
      </c>
      <c r="B13" t="s">
        <v>9</v>
      </c>
      <c r="C13" t="s">
        <v>13</v>
      </c>
      <c r="D13" s="6">
        <v>0.6788</v>
      </c>
      <c r="E13" s="6">
        <v>0.6831</v>
      </c>
    </row>
    <row r="14" spans="1:5">
      <c r="A14" s="2">
        <v>45777</v>
      </c>
      <c r="B14" t="s">
        <v>9</v>
      </c>
      <c r="C14" t="s">
        <v>10</v>
      </c>
      <c r="D14" s="5">
        <v>0.0218</v>
      </c>
      <c r="E14" s="6">
        <v>0.0095</v>
      </c>
    </row>
    <row r="15" spans="1:5">
      <c r="A15" s="2">
        <v>45777</v>
      </c>
      <c r="B15" t="s">
        <v>9</v>
      </c>
      <c r="C15" t="s">
        <v>11</v>
      </c>
      <c r="D15" s="6">
        <v>0.8127</v>
      </c>
      <c r="E15" s="6">
        <v>1.3314</v>
      </c>
    </row>
    <row r="16" spans="1:5">
      <c r="A16" s="2">
        <v>45777</v>
      </c>
      <c r="B16" t="s">
        <v>9</v>
      </c>
      <c r="C16" t="s">
        <v>12</v>
      </c>
      <c r="D16" s="6">
        <v>0.1236</v>
      </c>
      <c r="E16" s="6">
        <v>0.1383</v>
      </c>
    </row>
    <row r="17" spans="1:5">
      <c r="A17" s="2">
        <v>45777</v>
      </c>
      <c r="B17" t="s">
        <v>9</v>
      </c>
      <c r="C17" t="s">
        <v>13</v>
      </c>
      <c r="D17" s="6">
        <v>0.8595</v>
      </c>
      <c r="E17" s="6">
        <v>0.8123</v>
      </c>
    </row>
    <row r="18" spans="1:5">
      <c r="A18" s="2">
        <v>45808</v>
      </c>
      <c r="B18" t="s">
        <v>9</v>
      </c>
      <c r="C18" t="s">
        <v>10</v>
      </c>
      <c r="D18" s="5">
        <v>0.0174</v>
      </c>
      <c r="E18" s="6">
        <v>0.0065</v>
      </c>
    </row>
    <row r="19" spans="1:5">
      <c r="A19" s="2">
        <v>45808</v>
      </c>
      <c r="B19" t="s">
        <v>9</v>
      </c>
      <c r="C19" t="s">
        <v>11</v>
      </c>
      <c r="D19" s="6">
        <v>0.767</v>
      </c>
      <c r="E19" s="6">
        <v>1.5672</v>
      </c>
    </row>
    <row r="20" spans="1:5">
      <c r="A20" s="2">
        <v>45808</v>
      </c>
      <c r="B20" t="s">
        <v>9</v>
      </c>
      <c r="C20" t="s">
        <v>12</v>
      </c>
      <c r="D20" s="6">
        <v>0.1215</v>
      </c>
      <c r="E20" s="6">
        <v>0.0914</v>
      </c>
    </row>
    <row r="21" spans="1:5">
      <c r="A21" s="2">
        <v>45808</v>
      </c>
      <c r="B21" t="s">
        <v>9</v>
      </c>
      <c r="C21" t="s">
        <v>13</v>
      </c>
      <c r="D21" s="6">
        <v>0.7534</v>
      </c>
      <c r="E21" s="6">
        <v>0.8384</v>
      </c>
    </row>
    <row r="22" spans="1:5">
      <c r="A22" s="2">
        <v>45838</v>
      </c>
      <c r="B22" t="s">
        <v>9</v>
      </c>
      <c r="C22" t="s">
        <v>10</v>
      </c>
      <c r="D22" s="5">
        <v>0.0156</v>
      </c>
      <c r="E22" s="6">
        <v>0.0064</v>
      </c>
    </row>
    <row r="23" spans="1:5">
      <c r="A23" s="2">
        <v>45838</v>
      </c>
      <c r="B23" t="s">
        <v>9</v>
      </c>
      <c r="C23" t="s">
        <v>11</v>
      </c>
      <c r="D23" s="6">
        <v>1.0183</v>
      </c>
      <c r="E23" s="6">
        <v>2.4946</v>
      </c>
    </row>
    <row r="24" spans="1:5">
      <c r="A24" s="2">
        <v>45838</v>
      </c>
      <c r="B24" t="s">
        <v>9</v>
      </c>
      <c r="C24" t="s">
        <v>12</v>
      </c>
      <c r="D24" s="6">
        <v>0.0542</v>
      </c>
      <c r="E24" s="6">
        <v>0.0597</v>
      </c>
    </row>
    <row r="25" spans="1:5">
      <c r="A25" s="2">
        <v>45838</v>
      </c>
      <c r="B25" t="s">
        <v>9</v>
      </c>
      <c r="C25" t="s">
        <v>13</v>
      </c>
      <c r="D25" s="6">
        <v>0.5809</v>
      </c>
      <c r="E25" s="6">
        <v>0.9429</v>
      </c>
    </row>
    <row r="26" spans="1:5">
      <c r="A26" s="2">
        <v>45869</v>
      </c>
      <c r="B26" t="s">
        <v>9</v>
      </c>
      <c r="C26" t="s">
        <v>10</v>
      </c>
      <c r="D26" s="6">
        <v>0.02</v>
      </c>
      <c r="E26" s="6">
        <v>0.0069</v>
      </c>
    </row>
    <row r="27" spans="1:5">
      <c r="A27" s="2">
        <v>45869</v>
      </c>
      <c r="B27" t="s">
        <v>9</v>
      </c>
      <c r="C27" t="s">
        <v>11</v>
      </c>
      <c r="D27" s="6">
        <v>1.2047</v>
      </c>
      <c r="E27" s="6">
        <v>2.4145</v>
      </c>
    </row>
    <row r="28" spans="1:5">
      <c r="A28" s="2">
        <v>45869</v>
      </c>
      <c r="B28" t="s">
        <v>9</v>
      </c>
      <c r="C28" t="s">
        <v>12</v>
      </c>
      <c r="D28" s="6">
        <v>0.0739</v>
      </c>
      <c r="E28" s="6">
        <v>0.0304</v>
      </c>
    </row>
    <row r="29" spans="1:5">
      <c r="A29" s="2">
        <v>45869</v>
      </c>
      <c r="B29" t="s">
        <v>9</v>
      </c>
      <c r="C29" t="s">
        <v>13</v>
      </c>
      <c r="D29" s="6">
        <v>0.8015</v>
      </c>
      <c r="E29" s="6">
        <v>0.949</v>
      </c>
    </row>
    <row r="30" spans="1:5">
      <c r="A30" s="2">
        <v>45900</v>
      </c>
      <c r="B30" t="s">
        <v>9</v>
      </c>
      <c r="C30" t="s">
        <v>10</v>
      </c>
      <c r="D30" s="6">
        <v>0.0224</v>
      </c>
      <c r="E30" s="6">
        <v>0.0091</v>
      </c>
    </row>
    <row r="31" spans="1:5">
      <c r="A31" s="2">
        <v>45900</v>
      </c>
      <c r="B31" t="s">
        <v>9</v>
      </c>
      <c r="C31" t="s">
        <v>11</v>
      </c>
      <c r="D31" s="6">
        <v>0.9129</v>
      </c>
      <c r="E31" s="6">
        <v>2.3812</v>
      </c>
    </row>
    <row r="32" spans="1:5">
      <c r="A32" s="2">
        <v>45900</v>
      </c>
      <c r="B32" t="s">
        <v>9</v>
      </c>
      <c r="C32" t="s">
        <v>12</v>
      </c>
      <c r="D32" s="6">
        <v>0.0696</v>
      </c>
      <c r="E32" s="6">
        <v>0.0484</v>
      </c>
    </row>
    <row r="33" spans="1:5">
      <c r="A33" s="2">
        <v>45900</v>
      </c>
      <c r="B33" t="s">
        <v>9</v>
      </c>
      <c r="C33" t="s">
        <v>13</v>
      </c>
      <c r="D33" s="6">
        <v>0.4565</v>
      </c>
      <c r="E33" s="6">
        <v>0.88</v>
      </c>
    </row>
    <row r="34" spans="1:5">
      <c r="A34" s="2">
        <v>45930</v>
      </c>
      <c r="B34" t="s">
        <v>9</v>
      </c>
      <c r="C34" t="s">
        <v>10</v>
      </c>
      <c r="D34" s="6">
        <v>0.0212</v>
      </c>
      <c r="E34" s="6">
        <v>0.0101</v>
      </c>
    </row>
    <row r="35" spans="1:5">
      <c r="A35" s="2">
        <v>45930</v>
      </c>
      <c r="B35" t="s">
        <v>9</v>
      </c>
      <c r="C35" t="s">
        <v>11</v>
      </c>
      <c r="D35" s="6">
        <v>0.914</v>
      </c>
      <c r="E35" s="6">
        <v>1.8614</v>
      </c>
    </row>
    <row r="36" spans="1:5">
      <c r="A36" s="2">
        <v>45930</v>
      </c>
      <c r="B36" t="s">
        <v>9</v>
      </c>
      <c r="C36" t="s">
        <v>12</v>
      </c>
      <c r="D36" s="6">
        <v>0.2161</v>
      </c>
      <c r="E36" s="6">
        <v>0.0979</v>
      </c>
    </row>
    <row r="37" spans="1:5">
      <c r="A37" s="2">
        <v>45930</v>
      </c>
      <c r="B37" t="s">
        <v>9</v>
      </c>
      <c r="C37" t="s">
        <v>13</v>
      </c>
      <c r="D37" s="6">
        <v>0.5064</v>
      </c>
      <c r="E37" s="6">
        <v>0.8531</v>
      </c>
    </row>
    <row r="38" spans="1:5">
      <c r="A38" s="2">
        <v>45961</v>
      </c>
      <c r="B38" t="s">
        <v>9</v>
      </c>
      <c r="C38" t="s">
        <v>10</v>
      </c>
      <c r="D38" s="6">
        <v>0.0239</v>
      </c>
      <c r="E38" s="6">
        <v>0.0089</v>
      </c>
    </row>
    <row r="39" spans="1:5">
      <c r="A39" s="2">
        <v>45961</v>
      </c>
      <c r="B39" t="s">
        <v>9</v>
      </c>
      <c r="C39" t="s">
        <v>11</v>
      </c>
      <c r="D39" s="6">
        <v>0.9961</v>
      </c>
      <c r="E39" s="6">
        <v>1.7564</v>
      </c>
    </row>
    <row r="40" spans="1:5">
      <c r="A40" s="2">
        <v>45961</v>
      </c>
      <c r="B40" t="s">
        <v>9</v>
      </c>
      <c r="C40" t="s">
        <v>12</v>
      </c>
      <c r="D40" s="6">
        <v>0.1786</v>
      </c>
      <c r="E40" s="6">
        <v>0.1114</v>
      </c>
    </row>
    <row r="41" spans="1:5">
      <c r="A41" s="2">
        <v>45961</v>
      </c>
      <c r="B41" t="s">
        <v>9</v>
      </c>
      <c r="C41" t="s">
        <v>13</v>
      </c>
      <c r="D41" s="6">
        <v>0.2736</v>
      </c>
      <c r="E41" s="6">
        <v>0.0542</v>
      </c>
    </row>
    <row r="42" spans="1:5">
      <c r="A42" s="2">
        <v>45991</v>
      </c>
      <c r="B42" t="s">
        <v>9</v>
      </c>
      <c r="C42" t="s">
        <v>10</v>
      </c>
      <c r="D42" s="6">
        <v>0.0226</v>
      </c>
      <c r="E42" s="6">
        <v>0.0081</v>
      </c>
    </row>
    <row r="43" spans="1:5">
      <c r="A43" s="2">
        <v>45991</v>
      </c>
      <c r="B43" t="s">
        <v>9</v>
      </c>
      <c r="C43" t="s">
        <v>11</v>
      </c>
      <c r="D43" s="6">
        <v>0.8103</v>
      </c>
      <c r="E43" s="6">
        <v>1.7749</v>
      </c>
    </row>
    <row r="44" spans="1:5">
      <c r="A44" s="2">
        <v>45991</v>
      </c>
      <c r="B44" t="s">
        <v>9</v>
      </c>
      <c r="C44" t="s">
        <v>12</v>
      </c>
      <c r="D44" s="6">
        <v>0.1292</v>
      </c>
      <c r="E44" s="6">
        <v>0.0781</v>
      </c>
    </row>
    <row r="45" spans="1:5">
      <c r="A45" s="2">
        <v>45991</v>
      </c>
      <c r="B45" t="s">
        <v>9</v>
      </c>
      <c r="C45" t="s">
        <v>13</v>
      </c>
      <c r="D45" s="6">
        <v>0.3222</v>
      </c>
      <c r="E45" s="6">
        <v>0.4822</v>
      </c>
    </row>
    <row r="46" spans="1:5">
      <c r="A46" s="2">
        <v>46022</v>
      </c>
      <c r="B46" t="s">
        <v>9</v>
      </c>
      <c r="C46" t="s">
        <v>10</v>
      </c>
      <c r="D46" s="6">
        <v>0.0203</v>
      </c>
      <c r="E46" s="6">
        <v>0.0069</v>
      </c>
    </row>
    <row r="47" spans="1:5">
      <c r="A47" s="2">
        <v>46022</v>
      </c>
      <c r="B47" t="s">
        <v>9</v>
      </c>
      <c r="C47" t="s">
        <v>11</v>
      </c>
      <c r="D47" s="6">
        <v>0.7588</v>
      </c>
      <c r="E47" s="6">
        <v>1.7054</v>
      </c>
    </row>
    <row r="48" spans="1:5">
      <c r="A48" s="2">
        <v>46022</v>
      </c>
      <c r="B48" t="s">
        <v>9</v>
      </c>
      <c r="C48" t="s">
        <v>12</v>
      </c>
      <c r="D48" s="6">
        <v>0.1386</v>
      </c>
      <c r="E48" s="6">
        <v>0.0891</v>
      </c>
    </row>
    <row r="49" spans="1:5">
      <c r="A49" s="2">
        <v>46022</v>
      </c>
      <c r="B49" t="s">
        <v>9</v>
      </c>
      <c r="C49" t="s">
        <v>13</v>
      </c>
      <c r="D49" s="6">
        <v>0.3416</v>
      </c>
      <c r="E49" s="6">
        <v>0.355</v>
      </c>
    </row>
    <row r="50" spans="1:5">
      <c r="A50" s="2">
        <v>46053</v>
      </c>
      <c r="B50" t="s">
        <v>9</v>
      </c>
      <c r="C50" t="s">
        <v>10</v>
      </c>
      <c r="D50" s="6">
        <v>0.0224</v>
      </c>
      <c r="E50" s="6">
        <v>0.0072</v>
      </c>
    </row>
    <row r="51" spans="1:5">
      <c r="A51" s="2">
        <v>46053</v>
      </c>
      <c r="B51" t="s">
        <v>9</v>
      </c>
      <c r="C51" t="s">
        <v>11</v>
      </c>
      <c r="D51" s="6">
        <v>0.7791</v>
      </c>
      <c r="E51" s="6">
        <v>2.0337</v>
      </c>
    </row>
    <row r="52" spans="1:5">
      <c r="A52" s="2">
        <v>46053</v>
      </c>
      <c r="B52" t="s">
        <v>9</v>
      </c>
      <c r="C52" t="s">
        <v>12</v>
      </c>
      <c r="D52" s="6">
        <v>0.1156</v>
      </c>
      <c r="E52" s="6">
        <v>0.0789</v>
      </c>
    </row>
    <row r="53" spans="1:5">
      <c r="A53" s="2">
        <v>46053</v>
      </c>
      <c r="B53" t="s">
        <v>9</v>
      </c>
      <c r="C53" t="s">
        <v>13</v>
      </c>
      <c r="D53" s="6">
        <v>0.3501</v>
      </c>
      <c r="E53" s="6">
        <v>0.633</v>
      </c>
    </row>
    <row r="54" spans="1:5">
      <c r="A54" s="2">
        <v>46081</v>
      </c>
      <c r="B54" t="s">
        <v>9</v>
      </c>
      <c r="C54" t="s">
        <v>10</v>
      </c>
      <c r="D54" s="6">
        <v>0.0186</v>
      </c>
      <c r="E54" s="6">
        <v>0.0088</v>
      </c>
    </row>
    <row r="55" spans="1:5">
      <c r="A55" s="2">
        <v>46081</v>
      </c>
      <c r="B55" t="s">
        <v>9</v>
      </c>
      <c r="C55" t="s">
        <v>11</v>
      </c>
      <c r="D55" s="6">
        <v>0.6571</v>
      </c>
      <c r="E55" s="6">
        <v>1.9513</v>
      </c>
    </row>
    <row r="56" spans="1:5">
      <c r="A56" s="2">
        <v>46081</v>
      </c>
      <c r="B56" t="s">
        <v>9</v>
      </c>
      <c r="C56" t="s">
        <v>12</v>
      </c>
      <c r="D56" s="6">
        <v>0.1255</v>
      </c>
      <c r="E56" s="6">
        <v>0.1362</v>
      </c>
    </row>
    <row r="57" spans="1:5">
      <c r="A57" s="2">
        <v>46081</v>
      </c>
      <c r="B57" t="s">
        <v>9</v>
      </c>
      <c r="C57" t="s">
        <v>13</v>
      </c>
      <c r="D57" s="6">
        <v>0.5056</v>
      </c>
      <c r="E57" s="6">
        <v>0.9241</v>
      </c>
    </row>
    <row r="58" spans="1:5">
      <c r="A58" s="2">
        <v>46112</v>
      </c>
      <c r="B58" t="s">
        <v>9</v>
      </c>
      <c r="C58" t="s">
        <v>10</v>
      </c>
      <c r="D58" s="6">
        <v>0.0197</v>
      </c>
      <c r="E58" s="6">
        <v>0.0075</v>
      </c>
    </row>
    <row r="59" spans="1:5">
      <c r="A59" s="2">
        <v>46112</v>
      </c>
      <c r="B59" t="s">
        <v>9</v>
      </c>
      <c r="C59" t="s">
        <v>11</v>
      </c>
      <c r="D59" s="6">
        <v>0.8042</v>
      </c>
      <c r="E59" s="6">
        <v>1.4551</v>
      </c>
    </row>
    <row r="60" spans="1:5">
      <c r="A60" s="2">
        <v>46112</v>
      </c>
      <c r="B60" t="s">
        <v>9</v>
      </c>
      <c r="C60" t="s">
        <v>12</v>
      </c>
      <c r="D60" s="6">
        <v>0.1703</v>
      </c>
      <c r="E60" s="6">
        <v>0.0966</v>
      </c>
    </row>
    <row r="61" spans="1:5">
      <c r="A61" s="2">
        <v>46112</v>
      </c>
      <c r="B61" t="s">
        <v>9</v>
      </c>
      <c r="C61" t="s">
        <v>13</v>
      </c>
      <c r="D61" s="6">
        <v>0.511</v>
      </c>
      <c r="E61" s="6">
        <v>0.5017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workbookViewId="0">
      <selection activeCell="B20" sqref="B20"/>
    </sheetView>
  </sheetViews>
  <sheetFormatPr defaultColWidth="9.23076923076923" defaultRowHeight="16.8" outlineLevelCol="2"/>
  <cols>
    <col min="1" max="3" width="20.0192307692308" customWidth="1"/>
    <col min="4" max="7" width="12.9230769230769"/>
  </cols>
  <sheetData>
    <row r="1" spans="1:3">
      <c r="A1" s="1" t="s">
        <v>0</v>
      </c>
      <c r="B1" s="1" t="s">
        <v>14</v>
      </c>
      <c r="C1" s="1" t="s">
        <v>15</v>
      </c>
    </row>
    <row r="2" spans="1:3">
      <c r="A2" s="2">
        <v>45688</v>
      </c>
      <c r="B2" s="3" t="s">
        <v>16</v>
      </c>
      <c r="C2" s="4">
        <v>2004333894.09</v>
      </c>
    </row>
    <row r="3" spans="1:3">
      <c r="A3" s="2">
        <v>45688</v>
      </c>
      <c r="B3" s="3" t="s">
        <v>17</v>
      </c>
      <c r="C3" s="4">
        <v>23407754.09</v>
      </c>
    </row>
    <row r="4" spans="1:3">
      <c r="A4" s="2">
        <v>45688</v>
      </c>
      <c r="B4" s="3" t="s">
        <v>18</v>
      </c>
      <c r="C4" s="4">
        <v>5684948.24</v>
      </c>
    </row>
    <row r="5" spans="1:3">
      <c r="A5" s="2">
        <v>45688</v>
      </c>
      <c r="B5" s="3" t="s">
        <v>19</v>
      </c>
      <c r="C5" s="4">
        <v>5758431.85</v>
      </c>
    </row>
    <row r="6" spans="1:3">
      <c r="A6" s="2">
        <v>45688</v>
      </c>
      <c r="B6" s="3" t="s">
        <v>20</v>
      </c>
      <c r="C6" s="4">
        <v>2245083.21</v>
      </c>
    </row>
    <row r="7" spans="1:3">
      <c r="A7" s="2">
        <v>45716</v>
      </c>
      <c r="B7" s="3" t="s">
        <v>16</v>
      </c>
      <c r="C7" s="4">
        <v>2082096638.69</v>
      </c>
    </row>
    <row r="8" spans="1:3">
      <c r="A8" s="2">
        <v>45716</v>
      </c>
      <c r="B8" s="3" t="s">
        <v>17</v>
      </c>
      <c r="C8" s="4">
        <v>2020534162.39</v>
      </c>
    </row>
    <row r="9" spans="1:3">
      <c r="A9" s="2">
        <v>45716</v>
      </c>
      <c r="B9" s="3" t="s">
        <v>18</v>
      </c>
      <c r="C9" s="4">
        <v>14427529.36</v>
      </c>
    </row>
    <row r="10" spans="1:3">
      <c r="A10" s="2">
        <v>45716</v>
      </c>
      <c r="B10" s="3" t="s">
        <v>19</v>
      </c>
      <c r="C10" s="4">
        <v>16282551.74</v>
      </c>
    </row>
    <row r="11" spans="1:3">
      <c r="A11" s="2">
        <v>45716</v>
      </c>
      <c r="B11" s="3" t="s">
        <v>20</v>
      </c>
      <c r="C11" s="4">
        <v>2743606.46</v>
      </c>
    </row>
    <row r="12" spans="1:3">
      <c r="A12" s="2">
        <v>45747</v>
      </c>
      <c r="B12" s="3" t="s">
        <v>16</v>
      </c>
      <c r="C12" s="4">
        <v>2163431497.86</v>
      </c>
    </row>
    <row r="13" spans="1:3">
      <c r="A13" s="2">
        <v>45747</v>
      </c>
      <c r="B13" s="3" t="s">
        <v>17</v>
      </c>
      <c r="C13" s="4">
        <v>2094979178.57</v>
      </c>
    </row>
    <row r="14" spans="1:3">
      <c r="A14" s="2">
        <v>45747</v>
      </c>
      <c r="B14" s="3" t="s">
        <v>18</v>
      </c>
      <c r="C14" s="4">
        <v>17075839.59</v>
      </c>
    </row>
    <row r="15" spans="1:3">
      <c r="A15" s="2">
        <v>45747</v>
      </c>
      <c r="B15" s="3" t="s">
        <v>19</v>
      </c>
      <c r="C15" s="4">
        <v>19652614.27</v>
      </c>
    </row>
    <row r="16" spans="1:3">
      <c r="A16" s="2">
        <v>45747</v>
      </c>
      <c r="B16" s="3" t="s">
        <v>20</v>
      </c>
      <c r="C16" s="4">
        <v>1903267.72</v>
      </c>
    </row>
    <row r="17" spans="1:3">
      <c r="A17" s="2">
        <v>45777</v>
      </c>
      <c r="B17" s="3" t="s">
        <v>16</v>
      </c>
      <c r="C17" s="4">
        <v>2251124144.39</v>
      </c>
    </row>
    <row r="18" spans="1:3">
      <c r="A18" s="2">
        <v>45777</v>
      </c>
      <c r="B18" s="3" t="s">
        <v>17</v>
      </c>
      <c r="C18" s="4">
        <v>2174466185.6</v>
      </c>
    </row>
    <row r="19" spans="1:3">
      <c r="A19" s="2">
        <v>45777</v>
      </c>
      <c r="B19" s="3" t="s">
        <v>18</v>
      </c>
      <c r="C19" s="4">
        <v>19872244.21</v>
      </c>
    </row>
    <row r="20" spans="1:3">
      <c r="A20" s="2">
        <v>45777</v>
      </c>
      <c r="B20" s="3" t="s">
        <v>19</v>
      </c>
      <c r="C20" s="4">
        <v>22734280.97</v>
      </c>
    </row>
    <row r="21" spans="1:3">
      <c r="A21" s="2">
        <v>45777</v>
      </c>
      <c r="B21" s="3" t="s">
        <v>20</v>
      </c>
      <c r="C21" s="4">
        <v>2717241.26</v>
      </c>
    </row>
    <row r="22" spans="1:3">
      <c r="A22" s="2">
        <v>45808</v>
      </c>
      <c r="B22" s="3" t="s">
        <v>16</v>
      </c>
      <c r="C22" s="4">
        <v>2314419853.99</v>
      </c>
    </row>
    <row r="23" spans="1:3">
      <c r="A23" s="2">
        <v>45808</v>
      </c>
      <c r="B23" s="3" t="s">
        <v>17</v>
      </c>
      <c r="C23" s="4">
        <v>2233590691.31</v>
      </c>
    </row>
    <row r="24" spans="1:3">
      <c r="A24" s="2">
        <v>45808</v>
      </c>
      <c r="B24" s="3" t="s">
        <v>18</v>
      </c>
      <c r="C24" s="4">
        <v>14090755.2</v>
      </c>
    </row>
    <row r="25" spans="1:3">
      <c r="A25" s="2">
        <v>45808</v>
      </c>
      <c r="B25" s="3" t="s">
        <v>19</v>
      </c>
      <c r="C25" s="4">
        <v>31143539.14</v>
      </c>
    </row>
    <row r="26" spans="1:3">
      <c r="A26" s="2">
        <v>45808</v>
      </c>
      <c r="B26" s="3" t="s">
        <v>20</v>
      </c>
      <c r="C26" s="4">
        <v>2078571.64</v>
      </c>
    </row>
    <row r="27" spans="1:3">
      <c r="A27" s="2">
        <v>45838</v>
      </c>
      <c r="B27" s="3" t="s">
        <v>16</v>
      </c>
      <c r="C27" s="4">
        <v>2387341676.57</v>
      </c>
    </row>
    <row r="28" spans="1:3">
      <c r="A28" s="2">
        <v>45838</v>
      </c>
      <c r="B28" s="3" t="s">
        <v>17</v>
      </c>
      <c r="C28" s="4">
        <v>2300613612.96</v>
      </c>
    </row>
    <row r="29" spans="1:3">
      <c r="A29" s="2">
        <v>45838</v>
      </c>
      <c r="B29" s="3" t="s">
        <v>18</v>
      </c>
      <c r="C29" s="4">
        <v>14275547.73</v>
      </c>
    </row>
    <row r="30" spans="1:3">
      <c r="A30" s="2">
        <v>45838</v>
      </c>
      <c r="B30" s="3" t="s">
        <v>19</v>
      </c>
      <c r="C30" s="4">
        <v>35151252.77</v>
      </c>
    </row>
    <row r="31" spans="1:3">
      <c r="A31" s="2">
        <v>45838</v>
      </c>
      <c r="B31" s="3" t="s">
        <v>20</v>
      </c>
      <c r="C31" s="4">
        <v>1860302.22</v>
      </c>
    </row>
    <row r="32" spans="1:3">
      <c r="A32" s="2">
        <v>45869</v>
      </c>
      <c r="B32" s="3" t="s">
        <v>16</v>
      </c>
      <c r="C32" s="4">
        <v>2481665599.02</v>
      </c>
    </row>
    <row r="33" spans="1:3">
      <c r="A33" s="2">
        <v>45869</v>
      </c>
      <c r="B33" s="3" t="s">
        <v>17</v>
      </c>
      <c r="C33" s="4">
        <v>2392980517.17</v>
      </c>
    </row>
    <row r="34" spans="1:3">
      <c r="A34" s="2">
        <v>45869</v>
      </c>
      <c r="B34" s="3" t="s">
        <v>18</v>
      </c>
      <c r="C34" s="4">
        <v>15976091.6</v>
      </c>
    </row>
    <row r="35" spans="1:3">
      <c r="A35" s="2">
        <v>45869</v>
      </c>
      <c r="B35" s="3" t="s">
        <v>19</v>
      </c>
      <c r="C35" s="4">
        <v>34468548.15</v>
      </c>
    </row>
    <row r="36" spans="1:3">
      <c r="A36" s="2">
        <v>45869</v>
      </c>
      <c r="B36" s="3" t="s">
        <v>20</v>
      </c>
      <c r="C36" s="4">
        <v>1068511.15</v>
      </c>
    </row>
    <row r="37" spans="1:3">
      <c r="A37" s="2">
        <v>45900</v>
      </c>
      <c r="B37" s="3" t="s">
        <v>16</v>
      </c>
      <c r="C37" s="4">
        <v>2537256936.2</v>
      </c>
    </row>
    <row r="38" spans="1:3">
      <c r="A38" s="2">
        <v>45900</v>
      </c>
      <c r="B38" s="3" t="s">
        <v>17</v>
      </c>
      <c r="C38" s="4">
        <v>2437781528.73</v>
      </c>
    </row>
    <row r="39" spans="1:3">
      <c r="A39" s="2">
        <v>45900</v>
      </c>
      <c r="B39" s="3" t="s">
        <v>18</v>
      </c>
      <c r="C39" s="4">
        <v>21698784.96</v>
      </c>
    </row>
    <row r="40" spans="1:3">
      <c r="A40" s="2">
        <v>45900</v>
      </c>
      <c r="B40" s="3" t="s">
        <v>19</v>
      </c>
      <c r="C40" s="4">
        <v>38039437.21</v>
      </c>
    </row>
    <row r="41" spans="1:3">
      <c r="A41" s="2">
        <v>45900</v>
      </c>
      <c r="B41" s="3" t="s">
        <v>20</v>
      </c>
      <c r="C41" s="4">
        <v>1667927.55</v>
      </c>
    </row>
    <row r="42" spans="1:3">
      <c r="A42" s="2">
        <v>45930</v>
      </c>
      <c r="B42" s="3" t="s">
        <v>16</v>
      </c>
      <c r="C42" s="4">
        <v>2587295427.43</v>
      </c>
    </row>
    <row r="43" spans="1:3">
      <c r="A43" s="2">
        <v>45930</v>
      </c>
      <c r="B43" s="3" t="s">
        <v>17</v>
      </c>
      <c r="C43" s="4">
        <v>2480682005.68</v>
      </c>
    </row>
    <row r="44" spans="1:3">
      <c r="A44" s="2">
        <v>45930</v>
      </c>
      <c r="B44" s="3" t="s">
        <v>18</v>
      </c>
      <c r="C44" s="4">
        <v>24560858.11</v>
      </c>
    </row>
    <row r="45" spans="1:3">
      <c r="A45" s="2">
        <v>45930</v>
      </c>
      <c r="B45" s="3" t="s">
        <v>19</v>
      </c>
      <c r="C45" s="4">
        <v>40390683.11</v>
      </c>
    </row>
    <row r="46" spans="1:3">
      <c r="A46" s="2">
        <v>45930</v>
      </c>
      <c r="B46" s="3" t="s">
        <v>20</v>
      </c>
      <c r="C46" s="4">
        <v>3723706.32</v>
      </c>
    </row>
    <row r="47" spans="1:3">
      <c r="A47" s="2">
        <v>45961</v>
      </c>
      <c r="B47" s="3" t="s">
        <v>16</v>
      </c>
      <c r="C47" s="4">
        <v>2632205736.06</v>
      </c>
    </row>
    <row r="48" spans="1:3">
      <c r="A48" s="2">
        <v>45961</v>
      </c>
      <c r="B48" s="3" t="s">
        <v>17</v>
      </c>
      <c r="C48" s="4">
        <v>2523427332.66</v>
      </c>
    </row>
    <row r="49" spans="1:3">
      <c r="A49" s="2">
        <v>45961</v>
      </c>
      <c r="B49" s="3" t="s">
        <v>18</v>
      </c>
      <c r="C49" s="4">
        <v>22049376.69</v>
      </c>
    </row>
    <row r="50" spans="1:3">
      <c r="A50" s="2">
        <v>45961</v>
      </c>
      <c r="B50" s="3" t="s">
        <v>19</v>
      </c>
      <c r="C50" s="4">
        <v>43138122.01</v>
      </c>
    </row>
    <row r="51" spans="1:3">
      <c r="A51" s="2">
        <v>45961</v>
      </c>
      <c r="B51" s="3" t="s">
        <v>20</v>
      </c>
      <c r="C51" s="4">
        <v>4500141.39</v>
      </c>
    </row>
    <row r="52" spans="1:3">
      <c r="A52" s="2">
        <v>45991</v>
      </c>
      <c r="B52" s="3" t="s">
        <v>16</v>
      </c>
      <c r="C52" s="4">
        <v>2684583848.23</v>
      </c>
    </row>
    <row r="53" spans="1:3">
      <c r="A53" s="2">
        <v>45991</v>
      </c>
      <c r="B53" s="3" t="s">
        <v>17</v>
      </c>
      <c r="C53" s="4">
        <v>2581809695.56</v>
      </c>
    </row>
    <row r="54" spans="1:3">
      <c r="A54" s="2">
        <v>45991</v>
      </c>
      <c r="B54" s="3" t="s">
        <v>18</v>
      </c>
      <c r="C54" s="4">
        <v>20326766.46</v>
      </c>
    </row>
    <row r="55" spans="1:3">
      <c r="A55" s="2">
        <v>45991</v>
      </c>
      <c r="B55" s="3" t="s">
        <v>19</v>
      </c>
      <c r="C55" s="4">
        <v>39136411.49</v>
      </c>
    </row>
    <row r="56" spans="1:3">
      <c r="A56" s="2">
        <v>45991</v>
      </c>
      <c r="B56" s="3" t="s">
        <v>20</v>
      </c>
      <c r="C56" s="4">
        <v>3370391.39</v>
      </c>
    </row>
    <row r="57" spans="1:3">
      <c r="A57" s="2">
        <v>46022</v>
      </c>
      <c r="B57" s="3" t="s">
        <v>16</v>
      </c>
      <c r="C57" s="4">
        <v>2736037430.95</v>
      </c>
    </row>
    <row r="58" spans="1:3">
      <c r="A58" s="2">
        <v>46022</v>
      </c>
      <c r="B58" s="3" t="s">
        <v>17</v>
      </c>
      <c r="C58" s="4">
        <v>2641302953.15</v>
      </c>
    </row>
    <row r="59" spans="1:3">
      <c r="A59" s="2">
        <v>46022</v>
      </c>
      <c r="B59" s="3" t="s">
        <v>18</v>
      </c>
      <c r="C59" s="4">
        <v>17872361.93</v>
      </c>
    </row>
    <row r="60" spans="1:3">
      <c r="A60" s="2">
        <v>46022</v>
      </c>
      <c r="B60" s="3" t="s">
        <v>19</v>
      </c>
      <c r="C60" s="4">
        <v>34664796.72</v>
      </c>
    </row>
    <row r="61" spans="1:3">
      <c r="A61" s="2">
        <v>46022</v>
      </c>
      <c r="B61" s="3" t="s">
        <v>20</v>
      </c>
      <c r="C61" s="4">
        <v>3486271.28</v>
      </c>
    </row>
    <row r="62" spans="1:3">
      <c r="A62" s="2">
        <v>46053</v>
      </c>
      <c r="B62" s="3" t="s">
        <v>16</v>
      </c>
      <c r="C62" s="4">
        <v>2790589629.16</v>
      </c>
    </row>
    <row r="63" spans="1:3">
      <c r="A63" s="2">
        <v>46053</v>
      </c>
      <c r="B63" s="3" t="s">
        <v>17</v>
      </c>
      <c r="C63" s="4">
        <v>2691861148.49</v>
      </c>
    </row>
    <row r="64" spans="1:3">
      <c r="A64" s="2">
        <v>46053</v>
      </c>
      <c r="B64" s="3" t="s">
        <v>18</v>
      </c>
      <c r="C64" s="4">
        <v>19111243.1</v>
      </c>
    </row>
    <row r="65" spans="1:3">
      <c r="A65" s="2">
        <v>46053</v>
      </c>
      <c r="B65" s="3" t="s">
        <v>19</v>
      </c>
      <c r="C65" s="4">
        <v>36347620.44</v>
      </c>
    </row>
    <row r="66" spans="1:3">
      <c r="A66" s="2">
        <v>46053</v>
      </c>
      <c r="B66" s="3" t="s">
        <v>20</v>
      </c>
      <c r="C66" s="4">
        <v>2736455.44</v>
      </c>
    </row>
    <row r="67" spans="1:3">
      <c r="A67" s="2">
        <v>46081</v>
      </c>
      <c r="B67" s="3" t="s">
        <v>16</v>
      </c>
      <c r="C67" s="4">
        <v>2803752034.98</v>
      </c>
    </row>
    <row r="68" spans="1:3">
      <c r="A68" s="2">
        <v>46081</v>
      </c>
      <c r="B68" s="3" t="s">
        <v>17</v>
      </c>
      <c r="C68" s="4">
        <v>2695885562.86</v>
      </c>
    </row>
    <row r="69" spans="1:3">
      <c r="A69" s="2">
        <v>46081</v>
      </c>
      <c r="B69" s="3" t="s">
        <v>18</v>
      </c>
      <c r="C69" s="4">
        <v>23661315.26</v>
      </c>
    </row>
    <row r="70" spans="1:3">
      <c r="A70" s="2">
        <v>46081</v>
      </c>
      <c r="B70" s="3" t="s">
        <v>19</v>
      </c>
      <c r="C70" s="4">
        <v>37292574.36</v>
      </c>
    </row>
    <row r="71" spans="1:3">
      <c r="A71" s="2">
        <v>46081</v>
      </c>
      <c r="B71" s="3" t="s">
        <v>20</v>
      </c>
      <c r="C71" s="4">
        <v>4948929.02</v>
      </c>
    </row>
    <row r="72" spans="1:3">
      <c r="A72" s="2">
        <v>46112</v>
      </c>
      <c r="B72" s="3" t="s">
        <v>16</v>
      </c>
      <c r="C72" s="4">
        <v>2823080623.32</v>
      </c>
    </row>
    <row r="73" spans="1:3">
      <c r="A73" s="2">
        <v>46112</v>
      </c>
      <c r="B73" s="3" t="s">
        <v>17</v>
      </c>
      <c r="C73" s="4">
        <v>2720815216.54</v>
      </c>
    </row>
    <row r="74" spans="1:3">
      <c r="A74" s="2">
        <v>46112</v>
      </c>
      <c r="B74" s="3" t="s">
        <v>18</v>
      </c>
      <c r="C74" s="4">
        <v>20128488.91</v>
      </c>
    </row>
    <row r="75" spans="1:3">
      <c r="A75" s="2">
        <v>46112</v>
      </c>
      <c r="B75" s="3" t="s">
        <v>19</v>
      </c>
      <c r="C75" s="4">
        <v>34430346.86</v>
      </c>
    </row>
    <row r="76" spans="1:3">
      <c r="A76" s="2">
        <v>46112</v>
      </c>
      <c r="B76" s="3" t="s">
        <v>20</v>
      </c>
      <c r="C76" s="4">
        <v>3603331.94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Macro_Trends</vt:lpstr>
      <vt:lpstr>Roll_Rates</vt:lpstr>
      <vt:lpstr>Asset_Structure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</dc:creator>
  <cp:lastModifiedBy>陈彩虹</cp:lastModifiedBy>
  <dcterms:created xsi:type="dcterms:W3CDTF">2026-04-03T11:35:00Z</dcterms:created>
  <dcterms:modified xsi:type="dcterms:W3CDTF">2026-04-02T16:21:51Z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650CF7EED9CFE2E119E4CD69EA73543A_41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